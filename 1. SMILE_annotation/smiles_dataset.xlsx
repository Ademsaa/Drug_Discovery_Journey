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ILES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urier New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20" customWidth="1" min="4" max="4"/>
    <col width="12" customWidth="1" min="5" max="5"/>
    <col width="30" customWidth="1" min="6" max="6"/>
  </cols>
  <sheetData>
    <row r="1" ht="35" customHeight="1">
      <c r="A1" s="1" t="inlineStr">
        <is>
          <t>Sample ID</t>
        </is>
      </c>
      <c r="B1" s="1" t="inlineStr">
        <is>
          <t>Molecule Name</t>
        </is>
      </c>
      <c r="C1" s="1" t="inlineStr">
        <is>
          <t>SMILES Notation</t>
        </is>
      </c>
      <c r="D1" s="1" t="inlineStr">
        <is>
          <t>SMILES Variant</t>
        </is>
      </c>
      <c r="E1" s="1" t="inlineStr">
        <is>
          <t>Canonical</t>
        </is>
      </c>
      <c r="F1" s="1" t="inlineStr">
        <is>
          <t>Source/Notes</t>
        </is>
      </c>
    </row>
    <row r="2" ht="18" customHeight="1">
      <c r="A2" s="2" t="inlineStr">
        <is>
          <t>MOL-001</t>
        </is>
      </c>
      <c r="B2" s="3" t="inlineStr">
        <is>
          <t>Aspirin</t>
        </is>
      </c>
      <c r="C2" s="4" t="inlineStr">
        <is>
          <t>CC(=O)Oc1ccccc1C(=O)O</t>
        </is>
      </c>
      <c r="D2" s="3" t="inlineStr">
        <is>
          <t>Standard</t>
        </is>
      </c>
      <c r="E2" s="2" t="inlineStr">
        <is>
          <t>Yes</t>
        </is>
      </c>
      <c r="F2" s="3" t="inlineStr">
        <is>
          <t>Canonical SMILES (RDKit)</t>
        </is>
      </c>
    </row>
    <row r="3" ht="18" customHeight="1">
      <c r="A3" s="5" t="inlineStr">
        <is>
          <t>MOL-001</t>
        </is>
      </c>
      <c r="B3" s="6" t="inlineStr">
        <is>
          <t>Aspirin</t>
        </is>
      </c>
      <c r="C3" s="7" t="inlineStr">
        <is>
          <t>OC(=O)c1ccccc1OC(C)=O</t>
        </is>
      </c>
      <c r="D3" s="6" t="inlineStr">
        <is>
          <t>Variant 1</t>
        </is>
      </c>
      <c r="E3" s="5" t="inlineStr">
        <is>
          <t>No</t>
        </is>
      </c>
      <c r="F3" s="6" t="inlineStr">
        <is>
          <t>Alternate atom order</t>
        </is>
      </c>
    </row>
    <row r="4" ht="18" customHeight="1">
      <c r="A4" s="2" t="inlineStr">
        <is>
          <t>MOL-001</t>
        </is>
      </c>
      <c r="B4" s="3" t="inlineStr">
        <is>
          <t>Aspirin</t>
        </is>
      </c>
      <c r="C4" s="4" t="inlineStr">
        <is>
          <t>CC(=O)Oc1ccccc1C(O)=O</t>
        </is>
      </c>
      <c r="D4" s="3" t="inlineStr">
        <is>
          <t>Variant 2</t>
        </is>
      </c>
      <c r="E4" s="2" t="inlineStr">
        <is>
          <t>No</t>
        </is>
      </c>
      <c r="F4" s="3" t="inlineStr">
        <is>
          <t>Alternate bond notation</t>
        </is>
      </c>
    </row>
    <row r="5" ht="18" customHeight="1">
      <c r="A5" s="5" t="inlineStr">
        <is>
          <t>MOL-001</t>
        </is>
      </c>
      <c r="B5" s="6" t="inlineStr">
        <is>
          <t>Aspirin</t>
        </is>
      </c>
      <c r="C5" s="7" t="inlineStr">
        <is>
          <t>O=C(O)c1ccccc1OC(=O)C</t>
        </is>
      </c>
      <c r="D5" s="6" t="inlineStr">
        <is>
          <t>Variant 3</t>
        </is>
      </c>
      <c r="E5" s="5" t="inlineStr">
        <is>
          <t>No</t>
        </is>
      </c>
      <c r="F5" s="6" t="inlineStr">
        <is>
          <t>OpenBabel output</t>
        </is>
      </c>
    </row>
    <row r="6" ht="18" customHeight="1">
      <c r="A6" s="2" t="inlineStr">
        <is>
          <t>MOL-001</t>
        </is>
      </c>
      <c r="B6" s="3" t="inlineStr">
        <is>
          <t>Aspirin</t>
        </is>
      </c>
      <c r="C6" s="4" t="inlineStr">
        <is>
          <t>[H]OC(=O)c1ccccc1OC(=O)C</t>
        </is>
      </c>
      <c r="D6" s="3" t="inlineStr">
        <is>
          <t>Kekulé form</t>
        </is>
      </c>
      <c r="E6" s="2" t="inlineStr">
        <is>
          <t>No</t>
        </is>
      </c>
      <c r="F6" s="3" t="inlineStr">
        <is>
          <t>Explicit H on carboxyl</t>
        </is>
      </c>
    </row>
    <row r="7" ht="18" customHeight="1">
      <c r="A7" s="5" t="inlineStr">
        <is>
          <t>MOL-002</t>
        </is>
      </c>
      <c r="B7" s="6" t="inlineStr">
        <is>
          <t>Caffeine</t>
        </is>
      </c>
      <c r="C7" s="7" t="inlineStr">
        <is>
          <t>Cn1c(=O)n(C)c2ncnc21</t>
        </is>
      </c>
      <c r="D7" s="6" t="inlineStr">
        <is>
          <t>Standard</t>
        </is>
      </c>
      <c r="E7" s="5" t="inlineStr">
        <is>
          <t>Yes</t>
        </is>
      </c>
      <c r="F7" s="6" t="inlineStr">
        <is>
          <t>Canonical SMILES (RDKit)</t>
        </is>
      </c>
    </row>
    <row r="8" ht="18" customHeight="1">
      <c r="A8" s="2" t="inlineStr">
        <is>
          <t>MOL-002</t>
        </is>
      </c>
      <c r="B8" s="3" t="inlineStr">
        <is>
          <t>Caffeine</t>
        </is>
      </c>
      <c r="C8" s="4" t="inlineStr">
        <is>
          <t>CN1C=NC2=C1C(=O)N(C)C(=O)N2C</t>
        </is>
      </c>
      <c r="D8" s="3" t="inlineStr">
        <is>
          <t>Variant 1</t>
        </is>
      </c>
      <c r="E8" s="2" t="inlineStr">
        <is>
          <t>No</t>
        </is>
      </c>
      <c r="F8" s="3" t="inlineStr">
        <is>
          <t>Alternate ring traversal</t>
        </is>
      </c>
    </row>
    <row r="9" ht="18" customHeight="1">
      <c r="A9" s="5" t="inlineStr">
        <is>
          <t>MOL-002</t>
        </is>
      </c>
      <c r="B9" s="6" t="inlineStr">
        <is>
          <t>Caffeine</t>
        </is>
      </c>
      <c r="C9" s="7" t="inlineStr">
        <is>
          <t>O=C1N(C)c2ncnc2N(C)C1=O</t>
        </is>
      </c>
      <c r="D9" s="6" t="inlineStr">
        <is>
          <t>Variant 2</t>
        </is>
      </c>
      <c r="E9" s="5" t="inlineStr">
        <is>
          <t>No</t>
        </is>
      </c>
      <c r="F9" s="6" t="inlineStr">
        <is>
          <t>Kekulized aromatic</t>
        </is>
      </c>
    </row>
    <row r="10" ht="18" customHeight="1">
      <c r="A10" s="2" t="inlineStr">
        <is>
          <t>MOL-002</t>
        </is>
      </c>
      <c r="B10" s="3" t="inlineStr">
        <is>
          <t>Caffeine</t>
        </is>
      </c>
      <c r="C10" s="4" t="inlineStr">
        <is>
          <t>CN1C2=C(C(=O)N(C1=O)C)N=CN=2</t>
        </is>
      </c>
      <c r="D10" s="3" t="inlineStr">
        <is>
          <t>Variant 3</t>
        </is>
      </c>
      <c r="E10" s="2" t="inlineStr">
        <is>
          <t>No</t>
        </is>
      </c>
      <c r="F10" s="3" t="inlineStr">
        <is>
          <t>Different ring closure</t>
        </is>
      </c>
    </row>
    <row r="11" ht="18" customHeight="1">
      <c r="A11" s="5" t="inlineStr">
        <is>
          <t>MOL-002</t>
        </is>
      </c>
      <c r="B11" s="6" t="inlineStr">
        <is>
          <t>Caffeine</t>
        </is>
      </c>
      <c r="C11" s="7" t="inlineStr">
        <is>
          <t>O=c1[nH]c2ncnc2n(C)c1=O</t>
        </is>
      </c>
      <c r="D11" s="6" t="inlineStr">
        <is>
          <t>Tautomer</t>
        </is>
      </c>
      <c r="E11" s="5" t="inlineStr">
        <is>
          <t>No</t>
        </is>
      </c>
      <c r="F11" s="6" t="inlineStr">
        <is>
          <t>Tautomeric form</t>
        </is>
      </c>
    </row>
    <row r="12" ht="18" customHeight="1">
      <c r="A12" s="2" t="inlineStr">
        <is>
          <t>MOL-003</t>
        </is>
      </c>
      <c r="B12" s="3" t="inlineStr">
        <is>
          <t>Ethanol</t>
        </is>
      </c>
      <c r="C12" s="4" t="inlineStr">
        <is>
          <t>CCO</t>
        </is>
      </c>
      <c r="D12" s="3" t="inlineStr">
        <is>
          <t>Standard</t>
        </is>
      </c>
      <c r="E12" s="2" t="inlineStr">
        <is>
          <t>Yes</t>
        </is>
      </c>
      <c r="F12" s="3" t="inlineStr">
        <is>
          <t>Canonical SMILES</t>
        </is>
      </c>
    </row>
    <row r="13" ht="18" customHeight="1">
      <c r="A13" s="5" t="inlineStr">
        <is>
          <t>MOL-003</t>
        </is>
      </c>
      <c r="B13" s="6" t="inlineStr">
        <is>
          <t>Ethanol</t>
        </is>
      </c>
      <c r="C13" s="7" t="inlineStr">
        <is>
          <t>OCC</t>
        </is>
      </c>
      <c r="D13" s="6" t="inlineStr">
        <is>
          <t>Variant 1</t>
        </is>
      </c>
      <c r="E13" s="5" t="inlineStr">
        <is>
          <t>No</t>
        </is>
      </c>
      <c r="F13" s="6" t="inlineStr">
        <is>
          <t>O-first traversal</t>
        </is>
      </c>
    </row>
    <row r="14" ht="18" customHeight="1">
      <c r="A14" s="2" t="inlineStr">
        <is>
          <t>MOL-003</t>
        </is>
      </c>
      <c r="B14" s="3" t="inlineStr">
        <is>
          <t>Ethanol</t>
        </is>
      </c>
      <c r="C14" s="4" t="inlineStr">
        <is>
          <t>C(C)O</t>
        </is>
      </c>
      <c r="D14" s="3" t="inlineStr">
        <is>
          <t>Variant 2</t>
        </is>
      </c>
      <c r="E14" s="2" t="inlineStr">
        <is>
          <t>No</t>
        </is>
      </c>
      <c r="F14" s="3" t="inlineStr">
        <is>
          <t>Branch notation</t>
        </is>
      </c>
    </row>
    <row r="15" ht="18" customHeight="1">
      <c r="A15" s="5" t="inlineStr">
        <is>
          <t>MOL-003</t>
        </is>
      </c>
      <c r="B15" s="6" t="inlineStr">
        <is>
          <t>Ethanol</t>
        </is>
      </c>
      <c r="C15" s="7" t="inlineStr">
        <is>
          <t>[CH3][CH2][OH]</t>
        </is>
      </c>
      <c r="D15" s="6" t="inlineStr">
        <is>
          <t>Explicit atoms</t>
        </is>
      </c>
      <c r="E15" s="5" t="inlineStr">
        <is>
          <t>No</t>
        </is>
      </c>
      <c r="F15" s="6" t="inlineStr">
        <is>
          <t>All atoms explicit</t>
        </is>
      </c>
    </row>
    <row r="16" ht="18" customHeight="1">
      <c r="A16" s="2" t="inlineStr">
        <is>
          <t>MOL-003</t>
        </is>
      </c>
      <c r="B16" s="3" t="inlineStr">
        <is>
          <t>Ethanol</t>
        </is>
      </c>
      <c r="C16" s="4" t="inlineStr">
        <is>
          <t>C([H])([H])([H])C([H])([H])O</t>
        </is>
      </c>
      <c r="D16" s="3" t="inlineStr">
        <is>
          <t>Explicit H</t>
        </is>
      </c>
      <c r="E16" s="2" t="inlineStr">
        <is>
          <t>No</t>
        </is>
      </c>
      <c r="F16" s="3" t="inlineStr">
        <is>
          <t>Full explicit hydrogens</t>
        </is>
      </c>
    </row>
    <row r="17" ht="18" customHeight="1">
      <c r="A17" s="5" t="inlineStr">
        <is>
          <t>MOL-004</t>
        </is>
      </c>
      <c r="B17" s="6" t="inlineStr">
        <is>
          <t>D-Glucose</t>
        </is>
      </c>
      <c r="C17" s="7" t="inlineStr">
        <is>
          <t>OC[C@H]1OC(O)[C@H](O)[C@@H](O)[C@@H]1O</t>
        </is>
      </c>
      <c r="D17" s="6" t="inlineStr">
        <is>
          <t>Standard</t>
        </is>
      </c>
      <c r="E17" s="5" t="inlineStr">
        <is>
          <t>Yes</t>
        </is>
      </c>
      <c r="F17" s="6" t="inlineStr">
        <is>
          <t>Canonical with stereo (RDKit)</t>
        </is>
      </c>
    </row>
    <row r="18" ht="18" customHeight="1">
      <c r="A18" s="2" t="inlineStr">
        <is>
          <t>MOL-004</t>
        </is>
      </c>
      <c r="B18" s="3" t="inlineStr">
        <is>
          <t>D-Glucose</t>
        </is>
      </c>
      <c r="C18" s="4" t="inlineStr">
        <is>
          <t>C([C@@H]1[C@H]([C@@H]([C@H](C(O1)O)O)O)O)O</t>
        </is>
      </c>
      <c r="D18" s="3" t="inlineStr">
        <is>
          <t>Variant 1</t>
        </is>
      </c>
      <c r="E18" s="2" t="inlineStr">
        <is>
          <t>No</t>
        </is>
      </c>
      <c r="F18" s="3" t="inlineStr">
        <is>
          <t>Alternate ring start</t>
        </is>
      </c>
    </row>
    <row r="19" ht="18" customHeight="1">
      <c r="A19" s="5" t="inlineStr">
        <is>
          <t>MOL-004</t>
        </is>
      </c>
      <c r="B19" s="6" t="inlineStr">
        <is>
          <t>D-Glucose</t>
        </is>
      </c>
      <c r="C19" s="7" t="inlineStr">
        <is>
          <t>OC[C@H]1O[C@@H](O)[C@H](O)[C@@H](O)[C@@H]1O</t>
        </is>
      </c>
      <c r="D19" s="6" t="inlineStr">
        <is>
          <t>Beta-D-Glucose</t>
        </is>
      </c>
      <c r="E19" s="5" t="inlineStr">
        <is>
          <t>No</t>
        </is>
      </c>
      <c r="F19" s="6" t="inlineStr">
        <is>
          <t>Beta anomer</t>
        </is>
      </c>
    </row>
    <row r="20" ht="18" customHeight="1">
      <c r="A20" s="2" t="inlineStr">
        <is>
          <t>MOL-004</t>
        </is>
      </c>
      <c r="B20" s="3" t="inlineStr">
        <is>
          <t>D-Glucose</t>
        </is>
      </c>
      <c r="C20" s="4" t="inlineStr">
        <is>
          <t>OCC(O)C(O)C(O)C(O)C=O</t>
        </is>
      </c>
      <c r="D20" s="3" t="inlineStr">
        <is>
          <t>Open chain</t>
        </is>
      </c>
      <c r="E20" s="2" t="inlineStr">
        <is>
          <t>No</t>
        </is>
      </c>
      <c r="F20" s="3" t="inlineStr">
        <is>
          <t>Acyclic form</t>
        </is>
      </c>
    </row>
    <row r="21" ht="18" customHeight="1">
      <c r="A21" s="5" t="inlineStr">
        <is>
          <t>MOL-004</t>
        </is>
      </c>
      <c r="B21" s="6" t="inlineStr">
        <is>
          <t>D-Glucose</t>
        </is>
      </c>
      <c r="C21" s="7" t="inlineStr">
        <is>
          <t>OC[C@H]1OC(O)[C@H](O)[C@@H](O)[C@H]1O</t>
        </is>
      </c>
      <c r="D21" s="6" t="inlineStr">
        <is>
          <t>L-Glucose</t>
        </is>
      </c>
      <c r="E21" s="5" t="inlineStr">
        <is>
          <t>No</t>
        </is>
      </c>
      <c r="F21" s="6" t="inlineStr">
        <is>
          <t>Enantiomer</t>
        </is>
      </c>
    </row>
    <row r="22" ht="18" customHeight="1">
      <c r="A22" s="2" t="inlineStr">
        <is>
          <t>MOL-005</t>
        </is>
      </c>
      <c r="B22" s="3" t="inlineStr">
        <is>
          <t>Benzene</t>
        </is>
      </c>
      <c r="C22" s="4" t="inlineStr">
        <is>
          <t>c1ccccc1</t>
        </is>
      </c>
      <c r="D22" s="3" t="inlineStr">
        <is>
          <t>Aromatic</t>
        </is>
      </c>
      <c r="E22" s="2" t="inlineStr">
        <is>
          <t>Yes</t>
        </is>
      </c>
      <c r="F22" s="3" t="inlineStr">
        <is>
          <t>Aromatic notation (canonical)</t>
        </is>
      </c>
    </row>
    <row r="23" ht="18" customHeight="1">
      <c r="A23" s="5" t="inlineStr">
        <is>
          <t>MOL-005</t>
        </is>
      </c>
      <c r="B23" s="6" t="inlineStr">
        <is>
          <t>Benzene</t>
        </is>
      </c>
      <c r="C23" s="7" t="inlineStr">
        <is>
          <t>C1=CC=CC=C1</t>
        </is>
      </c>
      <c r="D23" s="6" t="inlineStr">
        <is>
          <t>Kekulé 1</t>
        </is>
      </c>
      <c r="E23" s="5" t="inlineStr">
        <is>
          <t>No</t>
        </is>
      </c>
      <c r="F23" s="6" t="inlineStr">
        <is>
          <t>Alternating single/double</t>
        </is>
      </c>
    </row>
    <row r="24" ht="18" customHeight="1">
      <c r="A24" s="2" t="inlineStr">
        <is>
          <t>MOL-005</t>
        </is>
      </c>
      <c r="B24" s="3" t="inlineStr">
        <is>
          <t>Benzene</t>
        </is>
      </c>
      <c r="C24" s="4" t="inlineStr">
        <is>
          <t>C1=CC=CC=C1</t>
        </is>
      </c>
      <c r="D24" s="3" t="inlineStr">
        <is>
          <t>Kekulé 2</t>
        </is>
      </c>
      <c r="E24" s="2" t="inlineStr">
        <is>
          <t>No</t>
        </is>
      </c>
      <c r="F24" s="3" t="inlineStr">
        <is>
          <t>Alternative Kekulé form</t>
        </is>
      </c>
    </row>
    <row r="25" ht="18" customHeight="1">
      <c r="A25" s="5" t="inlineStr">
        <is>
          <t>MOL-005</t>
        </is>
      </c>
      <c r="B25" s="6" t="inlineStr">
        <is>
          <t>Benzene</t>
        </is>
      </c>
      <c r="C25" s="7" t="inlineStr">
        <is>
          <t>[cH]1[cH][cH][cH][cH][cH]1</t>
        </is>
      </c>
      <c r="D25" s="6" t="inlineStr">
        <is>
          <t>Explicit H</t>
        </is>
      </c>
      <c r="E25" s="5" t="inlineStr">
        <is>
          <t>No</t>
        </is>
      </c>
      <c r="F25" s="6" t="inlineStr">
        <is>
          <t>Explicit aromatic H</t>
        </is>
      </c>
    </row>
    <row r="26" ht="18" customHeight="1">
      <c r="A26" s="2" t="inlineStr">
        <is>
          <t>MOL-005</t>
        </is>
      </c>
      <c r="B26" s="3" t="inlineStr">
        <is>
          <t>Benzene</t>
        </is>
      </c>
      <c r="C26" s="4" t="inlineStr">
        <is>
          <t>C1CCCCC1</t>
        </is>
      </c>
      <c r="D26" s="3" t="inlineStr">
        <is>
          <t>Cyclohexane</t>
        </is>
      </c>
      <c r="E26" s="2" t="inlineStr">
        <is>
          <t>No</t>
        </is>
      </c>
      <c r="F26" s="3" t="inlineStr">
        <is>
          <t>Saturated (wrong) - for reference</t>
        </is>
      </c>
    </row>
    <row r="27" ht="18" customHeight="1">
      <c r="A27" s="5" t="inlineStr">
        <is>
          <t>MOL-006</t>
        </is>
      </c>
      <c r="B27" s="6" t="inlineStr">
        <is>
          <t>Penicillin G</t>
        </is>
      </c>
      <c r="C27" s="7" t="inlineStr">
        <is>
          <t>[H][C@@]12SC(C)(C)[C@@H](N1C(=O)[C@H]2NC(=O)Cc1ccccc1)C(=O)O</t>
        </is>
      </c>
      <c r="D27" s="6" t="inlineStr">
        <is>
          <t>Standard</t>
        </is>
      </c>
      <c r="E27" s="5" t="inlineStr">
        <is>
          <t>Yes</t>
        </is>
      </c>
      <c r="F27" s="6" t="inlineStr">
        <is>
          <t>Full stereochemistry</t>
        </is>
      </c>
    </row>
    <row r="28" ht="18" customHeight="1">
      <c r="A28" s="2" t="inlineStr">
        <is>
          <t>MOL-006</t>
        </is>
      </c>
      <c r="B28" s="3" t="inlineStr">
        <is>
          <t>Penicillin G</t>
        </is>
      </c>
      <c r="C28" s="4" t="inlineStr">
        <is>
          <t>CC1(C)SC2C(NC(=O)Cc3ccccc3)C(=O)N2C1C(=O)O</t>
        </is>
      </c>
      <c r="D28" s="3" t="inlineStr">
        <is>
          <t>No stereo</t>
        </is>
      </c>
      <c r="E28" s="2" t="inlineStr">
        <is>
          <t>No</t>
        </is>
      </c>
      <c r="F28" s="3" t="inlineStr">
        <is>
          <t>Stereochemistry removed</t>
        </is>
      </c>
    </row>
    <row r="29" ht="18" customHeight="1">
      <c r="A29" s="5" t="inlineStr">
        <is>
          <t>MOL-006</t>
        </is>
      </c>
      <c r="B29" s="6" t="inlineStr">
        <is>
          <t>Penicillin G</t>
        </is>
      </c>
      <c r="C29" s="7" t="inlineStr">
        <is>
          <t>OC(=O)[C@H]1N2C(=O)[C@@H](NC(=O)Cc3ccccc3)[C@H]2SC1(C)C</t>
        </is>
      </c>
      <c r="D29" s="6" t="inlineStr">
        <is>
          <t>Variant ring</t>
        </is>
      </c>
      <c r="E29" s="5" t="inlineStr">
        <is>
          <t>No</t>
        </is>
      </c>
      <c r="F29" s="6" t="inlineStr">
        <is>
          <t>Different ring traversal</t>
        </is>
      </c>
    </row>
    <row r="30" ht="18" customHeight="1">
      <c r="A30" s="2" t="inlineStr">
        <is>
          <t>MOL-007</t>
        </is>
      </c>
      <c r="B30" s="3" t="inlineStr">
        <is>
          <t>Paracetamol</t>
        </is>
      </c>
      <c r="C30" s="4" t="inlineStr">
        <is>
          <t>CC(=O)Nc1ccc(O)cc1</t>
        </is>
      </c>
      <c r="D30" s="3" t="inlineStr">
        <is>
          <t>Standard</t>
        </is>
      </c>
      <c r="E30" s="2" t="inlineStr">
        <is>
          <t>Yes</t>
        </is>
      </c>
      <c r="F30" s="3" t="inlineStr">
        <is>
          <t>Canonical SMILES</t>
        </is>
      </c>
    </row>
    <row r="31" ht="18" customHeight="1">
      <c r="A31" s="5" t="inlineStr">
        <is>
          <t>MOL-007</t>
        </is>
      </c>
      <c r="B31" s="6" t="inlineStr">
        <is>
          <t>Paracetamol</t>
        </is>
      </c>
      <c r="C31" s="7" t="inlineStr">
        <is>
          <t>O=C(C)Nc1ccc(O)cc1</t>
        </is>
      </c>
      <c r="D31" s="6" t="inlineStr">
        <is>
          <t>Variant 1</t>
        </is>
      </c>
      <c r="E31" s="5" t="inlineStr">
        <is>
          <t>No</t>
        </is>
      </c>
      <c r="F31" s="6" t="inlineStr">
        <is>
          <t>O= notation</t>
        </is>
      </c>
    </row>
    <row r="32" ht="18" customHeight="1">
      <c r="A32" s="2" t="inlineStr">
        <is>
          <t>MOL-007</t>
        </is>
      </c>
      <c r="B32" s="3" t="inlineStr">
        <is>
          <t>Paracetamol</t>
        </is>
      </c>
      <c r="C32" s="4" t="inlineStr">
        <is>
          <t>CC(N)=O</t>
        </is>
      </c>
      <c r="D32" s="3" t="inlineStr">
        <is>
          <t>Fragment</t>
        </is>
      </c>
      <c r="E32" s="2" t="inlineStr">
        <is>
          <t>No</t>
        </is>
      </c>
      <c r="F32" s="3" t="inlineStr">
        <is>
          <t>Acetamide fragment only</t>
        </is>
      </c>
    </row>
    <row r="33" ht="18" customHeight="1">
      <c r="A33" s="5" t="inlineStr">
        <is>
          <t>MOL-007</t>
        </is>
      </c>
      <c r="B33" s="6" t="inlineStr">
        <is>
          <t>Paracetamol</t>
        </is>
      </c>
      <c r="C33" s="7" t="inlineStr">
        <is>
          <t>Oc1ccc(NC(C)=O)cc1</t>
        </is>
      </c>
      <c r="D33" s="6" t="inlineStr">
        <is>
          <t>Variant 2</t>
        </is>
      </c>
      <c r="E33" s="5" t="inlineStr">
        <is>
          <t>No</t>
        </is>
      </c>
      <c r="F33" s="6" t="inlineStr">
        <is>
          <t>OH-first traversal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</cols>
  <sheetData>
    <row r="1" ht="30" customHeight="1">
      <c r="A1" s="1" t="inlineStr">
        <is>
          <t>Molecule</t>
        </is>
      </c>
      <c r="B1" s="1" t="inlineStr">
        <is>
          <t>Sample ID</t>
        </is>
      </c>
      <c r="C1" s="1" t="inlineStr">
        <is>
          <t>SMILES Count</t>
        </is>
      </c>
    </row>
    <row r="2" ht="18" customHeight="1">
      <c r="A2" s="2" t="inlineStr">
        <is>
          <t>Aspirin</t>
        </is>
      </c>
      <c r="B2" s="2" t="inlineStr">
        <is>
          <t>MOL-001</t>
        </is>
      </c>
      <c r="C2" s="2">
        <f>COUNTIF('SMILES Dataset'!A:A,"MOL-001")</f>
        <v/>
      </c>
    </row>
    <row r="3" ht="18" customHeight="1">
      <c r="A3" s="5" t="inlineStr">
        <is>
          <t>Caffeine</t>
        </is>
      </c>
      <c r="B3" s="5" t="inlineStr">
        <is>
          <t>MOL-002</t>
        </is>
      </c>
      <c r="C3" s="5">
        <f>COUNTIF('SMILES Dataset'!A:A,"MOL-002")</f>
        <v/>
      </c>
    </row>
    <row r="4" ht="18" customHeight="1">
      <c r="A4" s="2" t="inlineStr">
        <is>
          <t>Ethanol</t>
        </is>
      </c>
      <c r="B4" s="2" t="inlineStr">
        <is>
          <t>MOL-003</t>
        </is>
      </c>
      <c r="C4" s="2">
        <f>COUNTIF('SMILES Dataset'!A:A,"MOL-003")</f>
        <v/>
      </c>
    </row>
    <row r="5" ht="18" customHeight="1">
      <c r="A5" s="5" t="inlineStr">
        <is>
          <t>D-Glucose</t>
        </is>
      </c>
      <c r="B5" s="5" t="inlineStr">
        <is>
          <t>MOL-004</t>
        </is>
      </c>
      <c r="C5" s="5">
        <f>COUNTIF('SMILES Dataset'!A:A,"MOL-004")</f>
        <v/>
      </c>
    </row>
    <row r="6" ht="18" customHeight="1">
      <c r="A6" s="2" t="inlineStr">
        <is>
          <t>Benzene</t>
        </is>
      </c>
      <c r="B6" s="2" t="inlineStr">
        <is>
          <t>MOL-005</t>
        </is>
      </c>
      <c r="C6" s="2">
        <f>COUNTIF('SMILES Dataset'!A:A,"MOL-005")</f>
        <v/>
      </c>
    </row>
    <row r="7" ht="18" customHeight="1">
      <c r="A7" s="5" t="inlineStr">
        <is>
          <t>Penicillin G</t>
        </is>
      </c>
      <c r="B7" s="5" t="inlineStr">
        <is>
          <t>MOL-006</t>
        </is>
      </c>
      <c r="C7" s="5">
        <f>COUNTIF('SMILES Dataset'!A:A,"MOL-006")</f>
        <v/>
      </c>
    </row>
    <row r="8" ht="18" customHeight="1">
      <c r="A8" s="2" t="inlineStr">
        <is>
          <t>Paracetamol</t>
        </is>
      </c>
      <c r="B8" s="2" t="inlineStr">
        <is>
          <t>MOL-007</t>
        </is>
      </c>
      <c r="C8" s="2">
        <f>COUNTIF('SMILES Dataset'!A:A,"MOL-007")</f>
        <v/>
      </c>
    </row>
    <row r="9" ht="18" customHeight="1">
      <c r="A9" s="8" t="inlineStr">
        <is>
          <t>TOTAL</t>
        </is>
      </c>
      <c r="B9" s="8" t="inlineStr"/>
      <c r="C9" s="8">
        <f>SUM(C2:C8)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2026-04-12T21:57:45Z</dcterms:created>
  <dcterms:modified xmlns:dcterms="http://purl.org/dc/terms/" xmlns:xsi="http://www.w3.org/2001/XMLSchema-instance" xsi:type="dcterms:W3CDTF">2026-04-12T21:57:45Z</dcterms:modified>
</cp:coreProperties>
</file>